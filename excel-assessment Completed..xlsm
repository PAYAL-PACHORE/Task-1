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8_{255F0111-8D39-4DE8-9A54-7AADE53961F0}" xr6:coauthVersionLast="47" xr6:coauthVersionMax="47" xr10:uidLastSave="{00000000-0000-0000-0000-000000000000}"/>
  <bookViews>
    <workbookView xWindow="-10" yWindow="-10" windowWidth="19220" windowHeight="101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5" l="1"/>
  <c r="F30" i="18"/>
  <c r="F29" i="18"/>
  <c r="F28" i="18"/>
  <c r="E30" i="18"/>
  <c r="E29" i="18"/>
  <c r="E28" i="18"/>
  <c r="D30" i="18"/>
  <c r="D29" i="18"/>
  <c r="D28" i="18"/>
  <c r="C6" i="19"/>
  <c r="C22" i="20" a="1"/>
  <c r="C22" i="20" s="1"/>
  <c r="B6" i="19"/>
  <c r="C22" i="19"/>
  <c r="C30" i="18"/>
  <c r="C29" i="18"/>
  <c r="C28" i="18"/>
  <c r="B30" i="18"/>
  <c r="B29" i="18"/>
  <c r="B28" i="18"/>
  <c r="G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<sst xmlns="http://schemas.openxmlformats.org/spreadsheetml/2006/main" count="413" uniqueCount="191">
  <si>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</si>
  <si>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</si>
  <si>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</si>
  <si>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</si>
  <si>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</si>
  <si>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</si>
  <si>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</si>
  <si>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</si>
  <si>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</si>
  <si>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</si>
  <si>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</si>
  <si>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</si>
  <si>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</si>
  <si>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</si>
  <si>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</si>
  <si>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</si>
  <si>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</si>
  <si>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</si>
  <si>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</si>
  <si>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</si>
  <si>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</si>
  <si>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</si>
  <si>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</si>
  <si>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</si>
  <si>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</si>
  <si>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</si>
  <si>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</si>
  <si>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</si>
  <si>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</si>
  <si>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</si>
  <si>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</si>
  <si>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</si>
  <si>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</si>
  <si>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</si>
  <si>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</si>
  <si>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</si>
  <si>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</si>
  <si>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</si>
  <si>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</si>
  <si>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</si>
  <si>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</si>
  <si>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</si>
  <si>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</si>
  <si>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</si>
  <si>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</si>
  <si>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</si>
  <si>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</si>
  <si>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</si>
  <si>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</si>
  <si>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</si>
  <si>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</si>
  <si>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</si>
  <si>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</si>
  <si>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</si>
  <si>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</si>
  <si>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</si>
  <si>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</si>
  <si>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</si>
  <si>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</si>
  <si>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</si>
  <si>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</si>
  <si>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</si>
  <si>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</si>
  <si>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</si>
  <si>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</si>
  <si>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</si>
  <si>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</si>
  <si>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</si>
  <si>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</si>
  <si>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</si>
  <si>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</si>
  <si>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</si>
  <si>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</si>
  <si>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</si>
  <si>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</si>
  <si>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</si>
  <si>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</si>
  <si>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</si>
  <si>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</si>
  <si>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</si>
  <si>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</si>
  <si>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</si>
  <si>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</si>
  <si>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</si>
  <si>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</si>
  <si>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</si>
  <si>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</si>
  <si>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</si>
  <si>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</si>
  <si>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</si>
  <si>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</si>
  <si>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</si>
  <si>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</si>
  <si>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</si>
  <si>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</si>
  <si>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</si>
  <si>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</si>
  <si>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</si>
  <si>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</si>
  <si>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</si>
  <si>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</si>
  <si>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</si>
  <si>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</si>
  <si>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</si>
  <si>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</si>
  <si>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</si>
  <si>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</si>
  <si>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</si>
  <si>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</si>
  <si>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</si>
  <si>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</si>
  <si>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</si>
  <si>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</si>
  <si>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</si>
  <si>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</si>
  <si>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</si>
  <si>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</si>
  <si>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</si>
  <si>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</si>
  <si>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</si>
  <si>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</si>
  <si>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</si>
  <si>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</si>
  <si>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</si>
  <si>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</si>
  <si>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</si>
  <si>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</si>
  <si>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</si>
  <si>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</si>
  <si>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</si>
  <si>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</si>
  <si>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</si>
  <si>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</si>
  <si>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</si>
  <si>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</si>
  <si>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</si>
  <si>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</si>
  <si>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</si>
  <si>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</si>
  <si>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</si>
  <si>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</si>
  <si>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</si>
  <si>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</si>
  <si>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</si>
  <si>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</si>
  <si>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</si>
  <si>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</si>
  <si>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</si>
  <si>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</si>
  <si>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</si>
  <si>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</si>
  <si>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</si>
  <si>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</si>
  <si>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</si>
  <si>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</si>
  <si>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</si>
  <si>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</si>
  <si>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</si>
  <si>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</si>
  <si>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</si>
  <si>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</si>
  <si>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</si>
  <si>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</si>
  <si>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</si>
  <si>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</si>
  <si>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</si>
  <si>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</si>
  <si>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</si>
  <si>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</si>
  <si>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</si>
  <si>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</si>
  <si>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</si>
  <si>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</si>
  <si>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</si>
  <si>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</si>
  <si>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</si>
  <si>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</si>
  <si>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 calculating the sum of the sales in the Table_A we have to use the sum function for that .It is used to add the range of the numbers.</t>
  </si>
  <si>
    <t xml:space="preserve">Simply the syntax is =SUM(NUMBER1,NUMBER2….) </t>
  </si>
  <si>
    <t>It Is used to add up the range of the numbers.</t>
  </si>
  <si>
    <t>It is very versatile function and works on both the contiguous ranges and the individual cells.</t>
  </si>
  <si>
    <t># formula: =INDEX(TABLE_A,MATCH(B2,TABLE_B[ID],0),MATCH(C2,TABLE_B[ID],0))</t>
  </si>
  <si>
    <t xml:space="preserve">#Result : </t>
  </si>
  <si>
    <t>#=INDEX(A9:J18,MATCH(A22:A35,M9:M18,0),MATCH(B22:B35,M9:M18,0))</t>
  </si>
  <si>
    <t>In case of finding the values of the Table_C we exhibit the relation between the TABLE_A ,TABLE_B &amp;TABLE_C by using the INDEX and MACTH FUNCTION. Where TABLE_A contain the intersection of the</t>
  </si>
  <si>
    <t>two entities and the INDEX function retrives the value from TABLE_A &amp; MATCH function identifies the corresponding row and column by matching the ID in TABLE_C .</t>
  </si>
  <si>
    <t>#Formula:  There is no exact formula but we can do through the Excel Functionlaties.</t>
  </si>
  <si>
    <t>We just need to follow the certain steps: we have to go the 'DATA' tab and in that 'TEXT TO COLUMNS'.  Then select the 'DELIMITED' and go to the Next.</t>
  </si>
  <si>
    <t>In the Delimited section , then in other and enter the ()</t>
  </si>
  <si>
    <t>r the (-) Hyphen the delimiter and next.Now we have to choice where we want split data to appear.</t>
  </si>
  <si>
    <t>It get separate as per our need, Now we have to just drag the change so it will reflect further..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</si>
</sst>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\-mm\-dd;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19" fillId="6" borderId="0" applyNumberFormat="0" applyBorder="0" applyAlignment="0" applyProtection="0"/>
    <xf numFmtId="0" fontId="20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21" fillId="10" borderId="0" applyNumberFormat="0" applyBorder="0" applyAlignment="0" applyProtection="0"/>
  </cellStyleXfs>
  <cellXfs count="53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0" fontId="9" fillId="0" borderId="6" xfId="0" applyFont="1" applyBorder="1"/>
    <xf numFmtId="167" fontId="4" fillId="0" borderId="0" xfId="0" applyNumberFormat="1" applyFont="1"/>
    <xf numFmtId="0" fontId="22" fillId="0" borderId="0" xfId="0" applyFont="1"/>
    <xf numFmtId="0" fontId="19" fillId="6" borderId="0" xfId="11"/>
    <xf numFmtId="0" fontId="21" fillId="10" borderId="0" xfId="15"/>
    <xf numFmtId="0" fontId="20" fillId="7" borderId="0" xfId="12"/>
    <xf numFmtId="0" fontId="1" fillId="9" borderId="0" xfId="14"/>
    <xf numFmtId="0" fontId="1" fillId="8" borderId="0" xfId="13"/>
  </cellXfs>
  <cellStyles count="16">
    <cellStyle name="60% - Accent1" xfId="13" builtinId="32"/>
    <cellStyle name="60% - Accent2" xfId="14" builtinId="36"/>
    <cellStyle name="Accent5" xfId="15" builtinId="45"/>
    <cellStyle name="Bad" xfId="12" builtinId="27"/>
    <cellStyle name="Good" xfId="11" builtinId="26"/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"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AP1" zoomScale="85" zoomScaleNormal="85" workbookViewId="0">
      <pane ySplit="1" topLeftCell="A30" activePane="bottomLeft" state="frozen"/>
      <selection activeCell="O1" sqref="O1"/>
      <selection pane="bottomLeft" activeCell="G41" sqref="G4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5">
      <c r="G41" s="1">
        <f>SUMIF(G2:G40,"&gt;20")</f>
        <v>958.5999999999998</v>
      </c>
    </row>
  </sheetData>
  <conditionalFormatting sqref="J2:L40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>
        <f>SUMIF(G2:G40,"&gt;20")</f>
        <v>0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32" sqref="H32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163</v>
      </c>
    </row>
    <row r="2" spans="1:7" s="41" customFormat="1" ht="21" x14ac:dyDescent="0.5">
      <c r="B2" s="4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v>2.7</v>
      </c>
      <c r="C6" s="12">
        <v>7.6</v>
      </c>
      <c r="D6" s="12">
        <v>4.2</v>
      </c>
      <c r="E6" s="12">
        <v>8.9</v>
      </c>
      <c r="F6" s="8">
        <v>4.2</v>
      </c>
    </row>
    <row r="7" spans="1:7" ht="14.5" x14ac:dyDescent="0.35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5" x14ac:dyDescent="0.35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4.5" x14ac:dyDescent="0.35">
      <c r="A9" s="7" t="s">
        <v>8</v>
      </c>
      <c r="B9" s="12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4.5" x14ac:dyDescent="0.35">
      <c r="A10" s="7" t="s">
        <v>11</v>
      </c>
      <c r="B10" s="1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5" x14ac:dyDescent="0.35">
      <c r="A11" s="7" t="s">
        <v>12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5" x14ac:dyDescent="0.35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5" x14ac:dyDescent="0.35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5" x14ac:dyDescent="0.35">
      <c r="A14" s="7" t="s">
        <v>16</v>
      </c>
      <c r="B14" s="12">
        <v>21.9</v>
      </c>
      <c r="C14" s="12">
        <v>61.5</v>
      </c>
      <c r="D14" s="12">
        <v>61.5</v>
      </c>
      <c r="E14" s="12">
        <v>76.599999999999994</v>
      </c>
      <c r="F14" s="8">
        <v>40.1</v>
      </c>
    </row>
    <row r="15" spans="1:7" ht="14.5" x14ac:dyDescent="0.35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4.5" x14ac:dyDescent="0.35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5" x14ac:dyDescent="0.35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5" x14ac:dyDescent="0.35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5" x14ac:dyDescent="0.35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4.5" x14ac:dyDescent="0.35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5" x14ac:dyDescent="0.35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5" x14ac:dyDescent="0.35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5" x14ac:dyDescent="0.35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5" x14ac:dyDescent="0.35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5" x14ac:dyDescent="0.35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5" x14ac:dyDescent="0.35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5" x14ac:dyDescent="0.35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5" x14ac:dyDescent="0.3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5" x14ac:dyDescent="0.35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38.772727272727273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N54"/>
  <sheetViews>
    <sheetView zoomScaleNormal="100" workbookViewId="0">
      <selection activeCell="B8" sqref="B8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4" s="41" customFormat="1" ht="21" x14ac:dyDescent="0.5">
      <c r="A1" s="42" t="s">
        <v>56</v>
      </c>
      <c r="B1" s="41" t="s">
        <v>173</v>
      </c>
    </row>
    <row r="2" spans="1:14" customFormat="1" ht="13" x14ac:dyDescent="0.3"/>
    <row r="3" spans="1:14" s="2" customFormat="1" x14ac:dyDescent="0.35">
      <c r="B3" s="1"/>
    </row>
    <row r="4" spans="1:14" s="2" customFormat="1" x14ac:dyDescent="0.35">
      <c r="B4" s="1" t="s">
        <v>150</v>
      </c>
    </row>
    <row r="5" spans="1:14" ht="18.5" x14ac:dyDescent="0.45">
      <c r="A5" s="43" t="s">
        <v>53</v>
      </c>
      <c r="B5" s="52" t="s">
        <v>186</v>
      </c>
      <c r="C5" s="52"/>
      <c r="D5" s="52"/>
      <c r="E5" s="52"/>
      <c r="F5" s="52"/>
      <c r="G5" s="52"/>
      <c r="H5" s="52"/>
      <c r="I5" s="52"/>
      <c r="J5" s="52"/>
      <c r="K5" s="52"/>
      <c r="L5" s="52"/>
    </row>
    <row r="6" spans="1:14" ht="18.5" x14ac:dyDescent="0.45">
      <c r="A6" s="43" t="s">
        <v>152</v>
      </c>
      <c r="B6" s="50" t="s">
        <v>187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</row>
    <row r="7" spans="1:14" ht="18.5" x14ac:dyDescent="0.45">
      <c r="A7" s="43"/>
      <c r="B7" s="50" t="s">
        <v>188</v>
      </c>
      <c r="C7" s="50"/>
      <c r="D7" s="50"/>
      <c r="E7" s="50"/>
      <c r="F7" s="50" t="s">
        <v>189</v>
      </c>
      <c r="G7" s="50"/>
      <c r="H7" s="50"/>
      <c r="I7" s="50"/>
      <c r="J7" s="50"/>
      <c r="K7" s="50"/>
      <c r="L7" s="50"/>
      <c r="M7" s="50"/>
      <c r="N7" s="50"/>
    </row>
    <row r="8" spans="1:14" x14ac:dyDescent="0.35">
      <c r="B8" s="50" t="s">
        <v>190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</row>
    <row r="9" spans="1:14" ht="23.5" x14ac:dyDescent="0.55000000000000004">
      <c r="A9" s="18" t="s">
        <v>164</v>
      </c>
      <c r="I9" s="2"/>
      <c r="J9" s="2"/>
    </row>
    <row r="10" spans="1:14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4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4" ht="23.5" x14ac:dyDescent="0.55000000000000004">
      <c r="A14" s="18" t="s">
        <v>161</v>
      </c>
    </row>
    <row r="15" spans="1:14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4" x14ac:dyDescent="0.35">
      <c r="A16" s="7" t="s">
        <v>120</v>
      </c>
      <c r="B16" s="12">
        <v>20000</v>
      </c>
      <c r="C16" s="1" t="s">
        <v>5</v>
      </c>
      <c r="D16" s="1">
        <v>0</v>
      </c>
      <c r="E16" s="1" t="s">
        <v>6</v>
      </c>
      <c r="F16" s="1">
        <v>24</v>
      </c>
    </row>
    <row r="17" spans="1:6" x14ac:dyDescent="0.35">
      <c r="A17" s="7" t="s">
        <v>121</v>
      </c>
      <c r="B17" s="12">
        <v>2002</v>
      </c>
      <c r="C17" s="1" t="s">
        <v>5</v>
      </c>
      <c r="D17" s="12">
        <v>0</v>
      </c>
      <c r="E17" s="1" t="s">
        <v>6</v>
      </c>
      <c r="F17" s="1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">
        <v>24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">
        <v>24</v>
      </c>
    </row>
    <row r="54" spans="1:6" x14ac:dyDescent="0.35">
      <c r="A54" s="9" t="s">
        <v>119</v>
      </c>
      <c r="B54" s="12">
        <v>21016</v>
      </c>
      <c r="C54" s="10" t="s">
        <v>5</v>
      </c>
      <c r="D54" s="13">
        <v>0</v>
      </c>
      <c r="E54" s="10" t="s">
        <v>6</v>
      </c>
      <c r="F54" s="1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J22"/>
  <sheetViews>
    <sheetView topLeftCell="A8" zoomScaleNormal="100" workbookViewId="0">
      <selection activeCell="C6" sqref="C6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10" ht="21" x14ac:dyDescent="0.5">
      <c r="A1" s="42" t="s">
        <v>85</v>
      </c>
      <c r="B1" s="41" t="s">
        <v>166</v>
      </c>
    </row>
    <row r="2" spans="1:10" ht="18.5" x14ac:dyDescent="0.45">
      <c r="B2" s="40" t="s">
        <v>165</v>
      </c>
    </row>
    <row r="5" spans="1:10" ht="14.5" x14ac:dyDescent="0.35">
      <c r="B5" s="1" t="s">
        <v>150</v>
      </c>
    </row>
    <row r="6" spans="1:10" ht="14.5" x14ac:dyDescent="0.35">
      <c r="A6" s="3" t="s">
        <v>53</v>
      </c>
      <c r="B6" s="47">
        <f>SUM(C12:C21)</f>
        <v>600</v>
      </c>
      <c r="C6" s="2">
        <f>SUM(C12:C21)</f>
        <v>600</v>
      </c>
    </row>
    <row r="7" spans="1:10" ht="14.5" x14ac:dyDescent="0.35">
      <c r="A7" s="3" t="s">
        <v>152</v>
      </c>
      <c r="B7" s="51" t="s">
        <v>177</v>
      </c>
      <c r="C7" s="51"/>
      <c r="D7" s="51"/>
      <c r="E7" s="51"/>
      <c r="F7" s="51"/>
      <c r="G7" s="51"/>
      <c r="H7" s="51"/>
      <c r="I7" s="51"/>
      <c r="J7" s="51"/>
    </row>
    <row r="8" spans="1:10" ht="14.5" x14ac:dyDescent="0.35">
      <c r="B8" s="51" t="s">
        <v>178</v>
      </c>
      <c r="C8" s="51"/>
      <c r="D8" s="51"/>
      <c r="E8" s="51"/>
      <c r="F8" s="51"/>
      <c r="G8" s="51"/>
      <c r="H8" s="51"/>
      <c r="I8" s="51"/>
      <c r="J8" s="51"/>
    </row>
    <row r="9" spans="1:10" ht="14.5" x14ac:dyDescent="0.35">
      <c r="B9" s="51" t="s">
        <v>179</v>
      </c>
      <c r="C9" s="51"/>
      <c r="D9" s="51"/>
      <c r="E9" s="51" t="s">
        <v>180</v>
      </c>
      <c r="F9" s="51"/>
      <c r="G9" s="51"/>
      <c r="H9" s="51"/>
      <c r="I9" s="51"/>
      <c r="J9" s="51"/>
    </row>
    <row r="10" spans="1:10" ht="23.5" x14ac:dyDescent="0.55000000000000004">
      <c r="A10" s="18" t="s">
        <v>161</v>
      </c>
    </row>
    <row r="11" spans="1:10" ht="14.5" x14ac:dyDescent="0.35">
      <c r="A11" s="32" t="s">
        <v>86</v>
      </c>
      <c r="B11" s="17" t="s">
        <v>87</v>
      </c>
      <c r="C11" s="17" t="s">
        <v>88</v>
      </c>
    </row>
    <row r="12" spans="1:10" ht="14.5" x14ac:dyDescent="0.35">
      <c r="A12" s="32">
        <v>44927</v>
      </c>
      <c r="B12" s="17" t="s">
        <v>59</v>
      </c>
      <c r="C12" s="17">
        <v>200</v>
      </c>
    </row>
    <row r="13" spans="1:10" ht="14.5" x14ac:dyDescent="0.35">
      <c r="A13" s="32">
        <v>44928</v>
      </c>
      <c r="B13" s="17" t="s">
        <v>60</v>
      </c>
      <c r="C13" s="17">
        <v>20</v>
      </c>
    </row>
    <row r="14" spans="1:10" ht="14.5" x14ac:dyDescent="0.35">
      <c r="A14" s="32">
        <v>44929</v>
      </c>
      <c r="B14" s="17" t="s">
        <v>61</v>
      </c>
      <c r="C14" s="17">
        <v>50</v>
      </c>
    </row>
    <row r="15" spans="1:10" ht="14.5" x14ac:dyDescent="0.35">
      <c r="A15" s="32">
        <v>44930</v>
      </c>
      <c r="B15" s="17" t="s">
        <v>62</v>
      </c>
      <c r="C15" s="17">
        <v>20</v>
      </c>
    </row>
    <row r="16" spans="1:10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153</v>
      </c>
      <c r="C17" s="17">
        <v>150</v>
      </c>
    </row>
    <row r="18" spans="1:3" ht="14.5" x14ac:dyDescent="0.35">
      <c r="A18" s="32">
        <v>44933</v>
      </c>
      <c r="B18" s="17" t="s">
        <v>154</v>
      </c>
      <c r="C18" s="17">
        <v>80</v>
      </c>
    </row>
    <row r="19" spans="1:3" ht="14.5" x14ac:dyDescent="0.35">
      <c r="A19" s="32">
        <v>44934</v>
      </c>
      <c r="B19" s="17" t="s">
        <v>155</v>
      </c>
      <c r="C19" s="17">
        <v>20</v>
      </c>
    </row>
    <row r="20" spans="1:3" ht="14.5" x14ac:dyDescent="0.35">
      <c r="A20" s="32">
        <v>44935</v>
      </c>
      <c r="B20" s="17" t="s">
        <v>156</v>
      </c>
      <c r="C20" s="17">
        <v>30</v>
      </c>
    </row>
    <row r="21" spans="1:3" ht="14.5" x14ac:dyDescent="0.35">
      <c r="A21" s="32">
        <v>44936</v>
      </c>
      <c r="B21" s="17" t="s">
        <v>157</v>
      </c>
      <c r="C21" s="17">
        <v>20</v>
      </c>
    </row>
    <row r="22" spans="1:3" ht="14.5" x14ac:dyDescent="0.35">
      <c r="B22" s="17" t="s">
        <v>158</v>
      </c>
      <c r="C22" s="25">
        <f>SUM(C12:C21)</f>
        <v>600</v>
      </c>
    </row>
  </sheetData>
  <conditionalFormatting sqref="B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abSelected="1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5" ht="21" x14ac:dyDescent="0.5">
      <c r="A1" s="42" t="s">
        <v>98</v>
      </c>
      <c r="B1" s="41" t="s">
        <v>174</v>
      </c>
    </row>
    <row r="3" spans="1:15" ht="14.5" x14ac:dyDescent="0.35">
      <c r="B3" s="1" t="s">
        <v>150</v>
      </c>
    </row>
    <row r="4" spans="1:15" ht="18.5" x14ac:dyDescent="0.45">
      <c r="A4" s="43" t="s">
        <v>53</v>
      </c>
      <c r="B4" s="1"/>
      <c r="C4" s="48" t="s">
        <v>181</v>
      </c>
      <c r="D4" s="48"/>
      <c r="E4" s="48"/>
      <c r="F4" s="48"/>
      <c r="G4" s="48"/>
      <c r="H4" s="48"/>
      <c r="I4" s="48"/>
    </row>
    <row r="5" spans="1:15" ht="18.5" x14ac:dyDescent="0.45">
      <c r="A5" s="43" t="s">
        <v>152</v>
      </c>
      <c r="B5" s="1"/>
      <c r="C5" s="49" t="s">
        <v>182</v>
      </c>
      <c r="D5" s="49" t="s">
        <v>183</v>
      </c>
      <c r="E5" s="49"/>
      <c r="F5" s="49"/>
      <c r="G5" s="49"/>
      <c r="H5" s="49"/>
      <c r="I5" s="49"/>
    </row>
    <row r="6" spans="1:15" ht="14.5" x14ac:dyDescent="0.35">
      <c r="A6" s="50" t="s">
        <v>184</v>
      </c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</row>
    <row r="7" spans="1:15" ht="14.5" x14ac:dyDescent="0.35">
      <c r="A7" s="50" t="s">
        <v>185</v>
      </c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</row>
    <row r="8" spans="1:15" ht="23.5" x14ac:dyDescent="0.55000000000000004">
      <c r="A8" s="18" t="s">
        <v>161</v>
      </c>
      <c r="M8" s="18" t="s">
        <v>162</v>
      </c>
    </row>
    <row r="9" spans="1:15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5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5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5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5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5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5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5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100</v>
      </c>
      <c r="B22" s="17" t="s">
        <v>101</v>
      </c>
      <c r="C22" s="16" t="e" cm="1">
        <f t="array" ref="C22:C35">INDEX(A9:J18,MATCH(A22:A35,M9:M18,0),MATCH(B22:B35,M9:M18,0))</f>
        <v>#N/A</v>
      </c>
    </row>
    <row r="23" spans="1:14" ht="14.5" x14ac:dyDescent="0.35">
      <c r="A23" s="7">
        <v>10100</v>
      </c>
      <c r="B23" s="12">
        <v>10102</v>
      </c>
      <c r="C23" s="44">
        <v>95</v>
      </c>
      <c r="D23" s="44"/>
      <c r="E23" s="44"/>
      <c r="F23" s="44"/>
      <c r="G23" s="44"/>
    </row>
    <row r="24" spans="1:14" ht="14.5" x14ac:dyDescent="0.35">
      <c r="A24" s="7">
        <v>10100</v>
      </c>
      <c r="B24" s="12">
        <v>10104</v>
      </c>
      <c r="C24" s="44">
        <v>-1</v>
      </c>
    </row>
    <row r="25" spans="1:14" ht="14.5" x14ac:dyDescent="0.35">
      <c r="A25" s="7">
        <v>10108</v>
      </c>
      <c r="B25" s="12">
        <v>10102</v>
      </c>
      <c r="C25" s="44">
        <v>160</v>
      </c>
      <c r="G25" s="34"/>
    </row>
    <row r="26" spans="1:14" ht="14.5" x14ac:dyDescent="0.35">
      <c r="A26" s="7">
        <v>10100</v>
      </c>
      <c r="B26" s="12">
        <v>10106</v>
      </c>
      <c r="C26" s="44">
        <v>185</v>
      </c>
    </row>
    <row r="27" spans="1:14" ht="14.5" x14ac:dyDescent="0.35">
      <c r="A27" s="7">
        <v>10108</v>
      </c>
      <c r="B27" s="12">
        <v>10110</v>
      </c>
      <c r="C27" s="44">
        <v>50</v>
      </c>
    </row>
    <row r="28" spans="1:14" ht="14.5" x14ac:dyDescent="0.35">
      <c r="A28" s="7">
        <v>10102</v>
      </c>
      <c r="B28" s="12">
        <v>10104</v>
      </c>
      <c r="C28" s="44">
        <v>-1</v>
      </c>
    </row>
    <row r="29" spans="1:14" ht="14.5" x14ac:dyDescent="0.35">
      <c r="A29" s="7">
        <v>10106</v>
      </c>
      <c r="B29" s="12">
        <v>10108</v>
      </c>
      <c r="C29" s="44">
        <v>70</v>
      </c>
    </row>
    <row r="30" spans="1:14" ht="14.5" x14ac:dyDescent="0.35">
      <c r="A30" s="7">
        <v>10102</v>
      </c>
      <c r="B30" s="12">
        <v>10106</v>
      </c>
      <c r="C30" s="44">
        <v>90</v>
      </c>
    </row>
    <row r="31" spans="1:14" ht="14.5" x14ac:dyDescent="0.35">
      <c r="A31" s="7">
        <v>10110</v>
      </c>
      <c r="B31" s="12">
        <v>10114</v>
      </c>
      <c r="C31" s="44">
        <v>180</v>
      </c>
    </row>
    <row r="32" spans="1:14" ht="14.5" x14ac:dyDescent="0.35">
      <c r="A32" s="7">
        <v>10104</v>
      </c>
      <c r="B32" s="12">
        <v>10106</v>
      </c>
      <c r="C32" s="44">
        <v>60</v>
      </c>
    </row>
    <row r="33" spans="1:3" ht="14.5" x14ac:dyDescent="0.35">
      <c r="A33" s="7">
        <v>10110</v>
      </c>
      <c r="B33" s="12">
        <v>10112</v>
      </c>
      <c r="C33" s="44">
        <v>115</v>
      </c>
    </row>
    <row r="34" spans="1:3" ht="14.5" x14ac:dyDescent="0.35">
      <c r="A34" s="7">
        <v>10100</v>
      </c>
      <c r="B34" s="12">
        <v>10114</v>
      </c>
      <c r="C34" s="44">
        <v>480</v>
      </c>
    </row>
    <row r="35" spans="1:3" ht="14.5" x14ac:dyDescent="0.35">
      <c r="A35" s="9">
        <v>10112</v>
      </c>
      <c r="B35" s="13">
        <v>10116</v>
      </c>
      <c r="C35" s="45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Payal Pachore</cp:lastModifiedBy>
  <dcterms:created xsi:type="dcterms:W3CDTF">2015-02-10T17:33:11Z</dcterms:created>
  <dcterms:modified xsi:type="dcterms:W3CDTF">2024-10-22T06:02:42Z</dcterms:modified>
</cp:coreProperties>
</file>